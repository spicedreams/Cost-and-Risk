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ar115\professional\risk\cost-risk\"/>
    </mc:Choice>
  </mc:AlternateContent>
  <xr:revisionPtr revIDLastSave="0" documentId="13_ncr:1_{C321AF51-1AFE-49F1-A55A-110F9F8B5408}" xr6:coauthVersionLast="47" xr6:coauthVersionMax="47" xr10:uidLastSave="{00000000-0000-0000-0000-000000000000}"/>
  <bookViews>
    <workbookView xWindow="-120" yWindow="-120" windowWidth="29040" windowHeight="17520" xr2:uid="{D0F0ABF3-778C-47B5-9FFF-BBC5683E691E}"/>
  </bookViews>
  <sheets>
    <sheet name="Multiple Estimators" sheetId="6" r:id="rId1"/>
    <sheet name="Weighted and Multipl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6" l="1"/>
  <c r="F18" i="6"/>
  <c r="F4" i="6"/>
  <c r="F3" i="6"/>
  <c r="F2" i="6"/>
  <c r="C5" i="6"/>
  <c r="D5" i="6"/>
  <c r="E5" i="6"/>
  <c r="G2" i="4"/>
  <c r="H2" i="4"/>
  <c r="I2" i="4"/>
  <c r="G3" i="4"/>
  <c r="H3" i="4"/>
  <c r="I3" i="4"/>
  <c r="G4" i="4"/>
  <c r="H4" i="4"/>
  <c r="I4" i="4"/>
  <c r="C5" i="4"/>
  <c r="D5" i="4"/>
  <c r="E5" i="4"/>
  <c r="F5" i="4"/>
  <c r="H5" i="4"/>
  <c r="C9" i="6" l="1"/>
  <c r="C24" i="6" s="1"/>
  <c r="F5" i="6"/>
  <c r="C23" i="6"/>
  <c r="C22" i="6"/>
  <c r="C21" i="6"/>
  <c r="C8" i="6"/>
  <c r="C8" i="4"/>
  <c r="I5" i="4"/>
  <c r="B8" i="4"/>
  <c r="G5" i="4"/>
  <c r="C9" i="4" s="1"/>
  <c r="D14" i="4"/>
  <c r="D12" i="4"/>
  <c r="E12" i="4" s="1"/>
  <c r="D15" i="4"/>
  <c r="F15" i="4" s="1"/>
  <c r="D13" i="4"/>
  <c r="F13" i="4" s="1"/>
  <c r="B9" i="4"/>
  <c r="E14" i="4"/>
  <c r="F14" i="4"/>
  <c r="F24" i="6" l="1"/>
  <c r="D24" i="6"/>
  <c r="E23" i="6"/>
  <c r="D23" i="6"/>
  <c r="D22" i="6"/>
  <c r="E24" i="6"/>
  <c r="E22" i="6"/>
  <c r="E21" i="6"/>
  <c r="D21" i="6"/>
  <c r="F22" i="6"/>
  <c r="F21" i="6"/>
  <c r="F23" i="6"/>
  <c r="G13" i="4"/>
  <c r="H13" i="4" s="1"/>
  <c r="G14" i="4"/>
  <c r="H14" i="4" s="1"/>
  <c r="G15" i="4"/>
  <c r="G12" i="4"/>
  <c r="E15" i="4"/>
  <c r="F12" i="4"/>
  <c r="I15" i="4"/>
  <c r="H12" i="4"/>
  <c r="H15" i="4"/>
  <c r="I12" i="4"/>
  <c r="E13" i="4"/>
  <c r="I14" i="4" l="1"/>
  <c r="I13" i="4"/>
</calcChain>
</file>

<file path=xl/sharedStrings.xml><?xml version="1.0" encoding="utf-8"?>
<sst xmlns="http://schemas.openxmlformats.org/spreadsheetml/2006/main" count="89" uniqueCount="70">
  <si>
    <t>Number of Estimators (n)</t>
  </si>
  <si>
    <t>Combined Standard Error</t>
  </si>
  <si>
    <t>Optimistic (O)</t>
  </si>
  <si>
    <t>Most Likely (M)</t>
  </si>
  <si>
    <t>Pessimistic (P)</t>
  </si>
  <si>
    <t>Name / Role</t>
  </si>
  <si>
    <t>Estimator 1 (Senior)</t>
  </si>
  <si>
    <t>Lead Dev</t>
  </si>
  <si>
    <t>Estimator 2 (Senior)</t>
  </si>
  <si>
    <t>Arch</t>
  </si>
  <si>
    <t>Estimator 3 (Junior)</t>
  </si>
  <si>
    <t>Junior</t>
  </si>
  <si>
    <t>Formula Result</t>
  </si>
  <si>
    <t>Description</t>
  </si>
  <si>
    <t>Metric Name</t>
  </si>
  <si>
    <t>-</t>
  </si>
  <si>
    <t>Section 1: Estimator Matrix</t>
  </si>
  <si>
    <t>Role</t>
  </si>
  <si>
    <t>Weight</t>
  </si>
  <si>
    <t>Calculated Task Averages</t>
  </si>
  <si>
    <t>Total Weight:</t>
  </si>
  <si>
    <t>Section 2: Baseline Analytics</t>
  </si>
  <si>
    <t>Expected Value (E)</t>
  </si>
  <si>
    <t>Std Dev (σ)</t>
  </si>
  <si>
    <t>Section 3: Group Scaling Matrix</t>
  </si>
  <si>
    <t>Estimators (n)</t>
  </si>
  <si>
    <t>Group Scaling Row 1</t>
  </si>
  <si>
    <t>Group Scaling Row 2</t>
  </si>
  <si>
    <t>Group Scaling Row 3</t>
  </si>
  <si>
    <t>Group Scaling Row 4</t>
  </si>
  <si>
    <t>Weighted Optimistic</t>
  </si>
  <si>
    <t>Weighted Most Likely</t>
  </si>
  <si>
    <t>Weighted Pessimistic</t>
  </si>
  <si>
    <t>Unweighted (Simple Avg) Baseline</t>
  </si>
  <si>
    <t>Weighted Baseline</t>
  </si>
  <si>
    <t>Unweighted Standard Error</t>
  </si>
  <si>
    <t>Unweighted 95% Lower</t>
  </si>
  <si>
    <t>Unweighted 95% Upper</t>
  </si>
  <si>
    <t>Weighted Standard Error</t>
  </si>
  <si>
    <t>Weighted 95% Lower</t>
  </si>
  <si>
    <t>Weighted 95% Upper</t>
  </si>
  <si>
    <t>Optimistic Estimate</t>
  </si>
  <si>
    <t>Most Likely Estimate</t>
  </si>
  <si>
    <t>Pessimistic Estimate</t>
  </si>
  <si>
    <t>Section 1: Estimator Input Matrix</t>
  </si>
  <si>
    <t>Estimator 1</t>
  </si>
  <si>
    <t>Estimator 2</t>
  </si>
  <si>
    <t>Estimator 3</t>
  </si>
  <si>
    <t>Calculated Baseline Group Averages</t>
  </si>
  <si>
    <t>Simple Average (Raw Inputs):</t>
  </si>
  <si>
    <t>Section 2: PERT Baseline Analytics</t>
  </si>
  <si>
    <t>Group Expected Value (E)</t>
  </si>
  <si>
    <t>Average expected task duration</t>
  </si>
  <si>
    <t>Group Baseline Std Dev (σ)</t>
  </si>
  <si>
    <t>Average baseline uncertainty for 1 estimator</t>
  </si>
  <si>
    <t>Section 3: Target Effort Simulation</t>
  </si>
  <si>
    <t>&lt;- Edit this number to change target hours</t>
  </si>
  <si>
    <t>Section 4: Group Scaling Matrix</t>
  </si>
  <si>
    <t># Standard Errors</t>
  </si>
  <si>
    <t>Probability</t>
  </si>
  <si>
    <t>Lower Bound</t>
  </si>
  <si>
    <t>Upper Bound</t>
  </si>
  <si>
    <t>Target Hours to complete task:</t>
  </si>
  <si>
    <t>&lt;- Set Desired Confidence Interval</t>
  </si>
  <si>
    <t>PERT Estimate (O+(4*M)+P)/6</t>
  </si>
  <si>
    <t>Programme Manager</t>
  </si>
  <si>
    <t>Lead SME</t>
  </si>
  <si>
    <t>Junior SME</t>
  </si>
  <si>
    <t>Normal Distribution Facts</t>
  </si>
  <si>
    <t>Probability of Hitting Target (C11)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</si>
</sst>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2" fontId="2" fillId="0" borderId="0" xfId="0" applyNumberFormat="1" applyFont="1" applyAlignment="1">
      <alignment wrapText="1"/>
    </xf>
    <xf numFmtId="2" fontId="0" fillId="0" borderId="1" xfId="0" applyNumberFormat="1" applyBorder="1" applyAlignment="1">
      <alignment wrapText="1"/>
    </xf>
    <xf numFmtId="2" fontId="0" fillId="0" borderId="2" xfId="0" applyNumberFormat="1" applyBorder="1" applyAlignment="1">
      <alignment wrapText="1"/>
    </xf>
    <xf numFmtId="2" fontId="0" fillId="0" borderId="3" xfId="0" applyNumberFormat="1" applyBorder="1" applyAlignment="1">
      <alignment wrapText="1"/>
    </xf>
    <xf numFmtId="2" fontId="0" fillId="0" borderId="4" xfId="0" applyNumberFormat="1" applyBorder="1" applyAlignment="1">
      <alignment wrapText="1"/>
    </xf>
    <xf numFmtId="2" fontId="0" fillId="0" borderId="5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0" fillId="0" borderId="7" xfId="0" applyNumberFormat="1" applyBorder="1" applyAlignment="1">
      <alignment wrapText="1"/>
    </xf>
    <xf numFmtId="2" fontId="0" fillId="0" borderId="8" xfId="0" applyNumberFormat="1" applyBorder="1" applyAlignment="1">
      <alignment wrapText="1"/>
    </xf>
    <xf numFmtId="0" fontId="0" fillId="0" borderId="0" xfId="0" applyAlignment="1">
      <alignment horizontal="righ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2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/>
    </xf>
    <xf numFmtId="2" fontId="3" fillId="0" borderId="0" xfId="0" applyNumberFormat="1" applyFont="1" applyAlignment="1">
      <alignment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0" fontId="3" fillId="0" borderId="0" xfId="0" applyFont="1"/>
    <xf numFmtId="9" fontId="3" fillId="0" borderId="0" xfId="1" applyFont="1"/>
    <xf numFmtId="2" fontId="3" fillId="0" borderId="0" xfId="0" applyNumberFormat="1" applyFont="1"/>
    <xf numFmtId="9" fontId="3" fillId="0" borderId="0" xfId="1" applyFont="1" applyAlignment="1">
      <alignment vertical="top"/>
    </xf>
    <xf numFmtId="0" fontId="4" fillId="0" borderId="0" xfId="0" applyFont="1" applyAlignment="1" applyProtection="1">
      <alignment horizontal="right" vertical="top"/>
      <protection locked="0"/>
    </xf>
    <xf numFmtId="1" fontId="4" fillId="0" borderId="0" xfId="0" applyNumberFormat="1" applyFont="1" applyAlignment="1" applyProtection="1">
      <alignment vertical="top"/>
      <protection locked="0"/>
    </xf>
    <xf numFmtId="9" fontId="4" fillId="0" borderId="0" xfId="1" applyFont="1" applyAlignment="1" applyProtection="1">
      <alignment vertical="top" wrapText="1"/>
      <protection locked="0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right" vertical="top" wrapText="1"/>
    </xf>
    <xf numFmtId="2" fontId="5" fillId="0" borderId="0" xfId="0" applyNumberFormat="1" applyFont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FB91-833D-4157-8C34-0C076DA28DF2}">
  <dimension ref="A1:F24"/>
  <sheetViews>
    <sheetView tabSelected="1" workbookViewId="0">
      <selection activeCell="M23" sqref="M23"/>
    </sheetView>
  </sheetViews>
  <sheetFormatPr defaultRowHeight="15" x14ac:dyDescent="0.25"/>
  <cols>
    <col min="1" max="1" width="18.140625" customWidth="1"/>
    <col min="2" max="2" width="27" style="13" bestFit="1" customWidth="1"/>
    <col min="3" max="5" width="12.28515625" style="3" customWidth="1"/>
    <col min="6" max="6" width="15.85546875" style="3" customWidth="1"/>
  </cols>
  <sheetData>
    <row r="1" spans="1:6" s="1" customFormat="1" ht="45" x14ac:dyDescent="0.25">
      <c r="A1" s="29" t="s">
        <v>44</v>
      </c>
      <c r="B1" s="15" t="s">
        <v>5</v>
      </c>
      <c r="C1" s="16" t="s">
        <v>2</v>
      </c>
      <c r="D1" s="16" t="s">
        <v>3</v>
      </c>
      <c r="E1" s="16" t="s">
        <v>4</v>
      </c>
      <c r="F1" s="16" t="s">
        <v>64</v>
      </c>
    </row>
    <row r="2" spans="1:6" x14ac:dyDescent="0.25">
      <c r="A2" s="17" t="s">
        <v>45</v>
      </c>
      <c r="B2" s="26" t="s">
        <v>65</v>
      </c>
      <c r="C2" s="27">
        <v>10</v>
      </c>
      <c r="D2" s="27">
        <v>14</v>
      </c>
      <c r="E2" s="27">
        <v>22</v>
      </c>
      <c r="F2" s="18">
        <f>(C2+(4*D2)+E2)/6</f>
        <v>14.666666666666666</v>
      </c>
    </row>
    <row r="3" spans="1:6" x14ac:dyDescent="0.25">
      <c r="A3" s="17" t="s">
        <v>46</v>
      </c>
      <c r="B3" s="26" t="s">
        <v>66</v>
      </c>
      <c r="C3" s="27">
        <v>12</v>
      </c>
      <c r="D3" s="27">
        <v>15</v>
      </c>
      <c r="E3" s="27">
        <v>24</v>
      </c>
      <c r="F3" s="18">
        <f t="shared" ref="F3:F5" si="0">(C3+(4*D3)+E3)/6</f>
        <v>16</v>
      </c>
    </row>
    <row r="4" spans="1:6" x14ac:dyDescent="0.25">
      <c r="A4" s="17" t="s">
        <v>47</v>
      </c>
      <c r="B4" s="26" t="s">
        <v>67</v>
      </c>
      <c r="C4" s="27">
        <v>8</v>
      </c>
      <c r="D4" s="27">
        <v>18</v>
      </c>
      <c r="E4" s="27">
        <v>30</v>
      </c>
      <c r="F4" s="18">
        <f t="shared" si="0"/>
        <v>18.333333333333332</v>
      </c>
    </row>
    <row r="5" spans="1:6" x14ac:dyDescent="0.25">
      <c r="A5" s="17" t="s">
        <v>48</v>
      </c>
      <c r="B5" s="19" t="s">
        <v>49</v>
      </c>
      <c r="C5" s="18">
        <f>AVERAGE(C2:C4)</f>
        <v>10</v>
      </c>
      <c r="D5" s="18">
        <f>AVERAGE(D2:D4)</f>
        <v>15.666666666666666</v>
      </c>
      <c r="E5" s="18">
        <f>AVERAGE(E2:E4)</f>
        <v>25.333333333333332</v>
      </c>
      <c r="F5" s="18">
        <f t="shared" si="0"/>
        <v>16.333333333333332</v>
      </c>
    </row>
    <row r="6" spans="1:6" x14ac:dyDescent="0.25">
      <c r="A6" s="17"/>
      <c r="B6" s="19"/>
      <c r="C6" s="18"/>
      <c r="D6" s="18"/>
      <c r="E6" s="18"/>
      <c r="F6" s="18"/>
    </row>
    <row r="7" spans="1:6" s="1" customFormat="1" ht="30" x14ac:dyDescent="0.25">
      <c r="A7" s="29" t="s">
        <v>50</v>
      </c>
      <c r="B7" s="15" t="s">
        <v>14</v>
      </c>
      <c r="C7" s="16" t="s">
        <v>12</v>
      </c>
      <c r="D7" s="16" t="s">
        <v>13</v>
      </c>
      <c r="E7" s="16"/>
      <c r="F7" s="16"/>
    </row>
    <row r="8" spans="1:6" x14ac:dyDescent="0.25">
      <c r="A8" s="17" t="s">
        <v>15</v>
      </c>
      <c r="B8" s="19" t="s">
        <v>51</v>
      </c>
      <c r="C8" s="18">
        <f>(C5+(4*D5)+E5)/6</f>
        <v>16.333333333333332</v>
      </c>
      <c r="D8" s="18" t="s">
        <v>52</v>
      </c>
      <c r="E8" s="18"/>
      <c r="F8" s="18"/>
    </row>
    <row r="9" spans="1:6" x14ac:dyDescent="0.25">
      <c r="A9" s="17" t="s">
        <v>15</v>
      </c>
      <c r="B9" s="19" t="s">
        <v>53</v>
      </c>
      <c r="C9" s="18">
        <f>(E5-C5)/6</f>
        <v>2.5555555555555554</v>
      </c>
      <c r="D9" s="18" t="s">
        <v>54</v>
      </c>
      <c r="E9" s="18"/>
      <c r="F9" s="18"/>
    </row>
    <row r="10" spans="1:6" x14ac:dyDescent="0.25">
      <c r="A10" s="17"/>
      <c r="B10" s="19"/>
      <c r="C10" s="18"/>
      <c r="D10" s="18"/>
      <c r="E10" s="18"/>
      <c r="F10" s="18"/>
    </row>
    <row r="11" spans="1:6" s="1" customFormat="1" ht="30" x14ac:dyDescent="0.25">
      <c r="A11" s="29" t="s">
        <v>55</v>
      </c>
      <c r="B11" s="30" t="s">
        <v>62</v>
      </c>
      <c r="C11" s="27">
        <f>C8*1.1</f>
        <v>17.966666666666669</v>
      </c>
      <c r="D11" s="31" t="s">
        <v>56</v>
      </c>
      <c r="E11" s="16"/>
      <c r="F11" s="16"/>
    </row>
    <row r="12" spans="1:6" s="1" customFormat="1" x14ac:dyDescent="0.25">
      <c r="A12" s="14"/>
      <c r="B12" s="15"/>
      <c r="C12" s="28">
        <v>0.95</v>
      </c>
      <c r="D12" s="18" t="s">
        <v>63</v>
      </c>
      <c r="E12" s="16"/>
      <c r="F12" s="16"/>
    </row>
    <row r="13" spans="1:6" s="1" customFormat="1" x14ac:dyDescent="0.25">
      <c r="A13" s="14"/>
      <c r="B13" s="15"/>
      <c r="C13" s="16"/>
      <c r="D13" s="16"/>
      <c r="E13" s="16"/>
      <c r="F13" s="16"/>
    </row>
    <row r="14" spans="1:6" s="1" customFormat="1" ht="30" hidden="1" x14ac:dyDescent="0.25">
      <c r="A14" s="20"/>
      <c r="B14" s="15" t="s">
        <v>68</v>
      </c>
      <c r="C14" s="21" t="s">
        <v>59</v>
      </c>
      <c r="D14" s="15" t="s">
        <v>58</v>
      </c>
      <c r="E14" s="21"/>
      <c r="F14" s="21"/>
    </row>
    <row r="15" spans="1:6" hidden="1" x14ac:dyDescent="0.25">
      <c r="A15" s="22"/>
      <c r="B15" s="19"/>
      <c r="C15" s="23">
        <v>0.68200000000000005</v>
      </c>
      <c r="D15" s="19">
        <v>1</v>
      </c>
      <c r="E15" s="24"/>
      <c r="F15" s="24"/>
    </row>
    <row r="16" spans="1:6" hidden="1" x14ac:dyDescent="0.25">
      <c r="A16" s="22"/>
      <c r="B16" s="19"/>
      <c r="C16" s="23">
        <v>0.9</v>
      </c>
      <c r="D16" s="19">
        <v>1.64</v>
      </c>
      <c r="E16" s="24"/>
      <c r="F16" s="24"/>
    </row>
    <row r="17" spans="1:6" hidden="1" x14ac:dyDescent="0.25">
      <c r="A17" s="22"/>
      <c r="B17" s="19"/>
      <c r="C17" s="23">
        <v>0.95</v>
      </c>
      <c r="D17" s="19">
        <v>1.96</v>
      </c>
      <c r="E17" s="24"/>
      <c r="F17" s="24"/>
    </row>
    <row r="18" spans="1:6" hidden="1" x14ac:dyDescent="0.25">
      <c r="A18" s="22"/>
      <c r="B18" s="19"/>
      <c r="C18" s="23">
        <v>0.997</v>
      </c>
      <c r="D18" s="19">
        <v>3</v>
      </c>
      <c r="E18" s="24"/>
      <c r="F18" s="24">
        <f>VLOOKUP($C$12,$C$15:$D$18,2,1)</f>
        <v>1.96</v>
      </c>
    </row>
    <row r="19" spans="1:6" s="1" customFormat="1" x14ac:dyDescent="0.25">
      <c r="A19" s="14"/>
      <c r="B19" s="15"/>
      <c r="C19" s="16"/>
      <c r="D19" s="16"/>
      <c r="E19" s="16"/>
      <c r="F19" s="16"/>
    </row>
    <row r="20" spans="1:6" s="1" customFormat="1" ht="45" x14ac:dyDescent="0.25">
      <c r="A20" s="29" t="s">
        <v>57</v>
      </c>
      <c r="B20" s="15" t="s">
        <v>0</v>
      </c>
      <c r="C20" s="16" t="s">
        <v>1</v>
      </c>
      <c r="D20" s="16" t="s">
        <v>60</v>
      </c>
      <c r="E20" s="16" t="s">
        <v>61</v>
      </c>
      <c r="F20" s="16" t="s">
        <v>69</v>
      </c>
    </row>
    <row r="21" spans="1:6" x14ac:dyDescent="0.25">
      <c r="A21" s="17"/>
      <c r="B21" s="19">
        <v>1</v>
      </c>
      <c r="C21" s="18">
        <f>$C$9/SQRT(B21)</f>
        <v>2.5555555555555554</v>
      </c>
      <c r="D21" s="18">
        <f>$C$8-(VLOOKUP($C$12,$C$15:$D$18,2,1)*C21)</f>
        <v>11.324444444444444</v>
      </c>
      <c r="E21" s="18">
        <f>$C$8+(VLOOKUP($C$12,$C$15:$D$18,2,1)*C21)</f>
        <v>21.342222222222219</v>
      </c>
      <c r="F21" s="25">
        <f>NORMDIST($C$11,$C$8,C21,TRUE)</f>
        <v>0.73863095883584196</v>
      </c>
    </row>
    <row r="22" spans="1:6" x14ac:dyDescent="0.25">
      <c r="A22" s="17"/>
      <c r="B22" s="19">
        <v>3</v>
      </c>
      <c r="C22" s="18">
        <f>$C$9/SQRT(B22)</f>
        <v>1.4754506879290437</v>
      </c>
      <c r="D22" s="18">
        <f>$C$8-(VLOOKUP($C$12,$C$15:$D$18,2,1)*C22)</f>
        <v>13.441449984992406</v>
      </c>
      <c r="E22" s="18">
        <f>$C$8+(VLOOKUP($C$12,$C$15:$D$18,2,1)*C22)</f>
        <v>19.225216681674258</v>
      </c>
      <c r="F22" s="25">
        <f>NORMDIST($C$11,$C$8,C22,TRUE)</f>
        <v>0.86585441626565851</v>
      </c>
    </row>
    <row r="23" spans="1:6" x14ac:dyDescent="0.25">
      <c r="A23" s="17"/>
      <c r="B23" s="19">
        <v>5</v>
      </c>
      <c r="C23" s="18">
        <f>$C$9/SQRT(B23)</f>
        <v>1.1428791884998923</v>
      </c>
      <c r="D23" s="18">
        <f>$C$8-(VLOOKUP($C$12,$C$15:$D$18,2,1)*C23)</f>
        <v>14.093290123873544</v>
      </c>
      <c r="E23" s="18">
        <f>$C$8+(VLOOKUP($C$12,$C$15:$D$18,2,1)*C23)</f>
        <v>18.57337654279312</v>
      </c>
      <c r="F23" s="25">
        <f>NORMDIST($C$11,$C$8,C23,TRUE)</f>
        <v>0.92351787114151296</v>
      </c>
    </row>
    <row r="24" spans="1:6" x14ac:dyDescent="0.25">
      <c r="A24" s="17"/>
      <c r="B24" s="19">
        <v>10</v>
      </c>
      <c r="C24" s="18">
        <f>$C$9/SQRT(B24)</f>
        <v>0.80813762426525237</v>
      </c>
      <c r="D24" s="18">
        <f>$C$8-(VLOOKUP($C$12,$C$15:$D$18,2,1)*C24)</f>
        <v>14.749383589773437</v>
      </c>
      <c r="E24" s="18">
        <f>$C$8+(VLOOKUP($C$12,$C$15:$D$18,2,1)*C24)</f>
        <v>17.917283076893227</v>
      </c>
      <c r="F24" s="25">
        <f>NORMDIST($C$11,$C$8,C24,TRUE)</f>
        <v>0.97836570141409251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E9E0-9F3F-44DE-895C-68974586BDCE}">
  <dimension ref="A1:I16"/>
  <sheetViews>
    <sheetView workbookViewId="0">
      <selection activeCell="C8" sqref="C8"/>
    </sheetView>
  </sheetViews>
  <sheetFormatPr defaultRowHeight="15" x14ac:dyDescent="0.25"/>
  <cols>
    <col min="1" max="1" width="21.28515625" style="3" customWidth="1"/>
    <col min="2" max="9" width="16.42578125" style="3" customWidth="1"/>
    <col min="10" max="16384" width="9.140625" style="3"/>
  </cols>
  <sheetData>
    <row r="1" spans="1:9" ht="30" x14ac:dyDescent="0.25">
      <c r="A1" s="4" t="s">
        <v>16</v>
      </c>
      <c r="B1" s="2" t="s">
        <v>17</v>
      </c>
      <c r="C1" s="2" t="s">
        <v>18</v>
      </c>
      <c r="D1" s="5" t="s">
        <v>41</v>
      </c>
      <c r="E1" s="6" t="s">
        <v>42</v>
      </c>
      <c r="F1" s="7" t="s">
        <v>43</v>
      </c>
      <c r="G1" s="2" t="s">
        <v>30</v>
      </c>
      <c r="H1" s="2" t="s">
        <v>31</v>
      </c>
      <c r="I1" s="2" t="s">
        <v>32</v>
      </c>
    </row>
    <row r="2" spans="1:9" x14ac:dyDescent="0.25">
      <c r="A2" s="2" t="s">
        <v>6</v>
      </c>
      <c r="B2" s="2" t="s">
        <v>7</v>
      </c>
      <c r="C2" s="2">
        <v>5</v>
      </c>
      <c r="D2" s="8">
        <v>10</v>
      </c>
      <c r="E2" s="2">
        <v>14</v>
      </c>
      <c r="F2" s="9">
        <v>22</v>
      </c>
      <c r="G2" s="2">
        <f>C2*D2</f>
        <v>50</v>
      </c>
      <c r="H2" s="2">
        <f>C2*E2</f>
        <v>70</v>
      </c>
      <c r="I2" s="2">
        <f>C2*F2</f>
        <v>110</v>
      </c>
    </row>
    <row r="3" spans="1:9" x14ac:dyDescent="0.25">
      <c r="A3" s="2" t="s">
        <v>8</v>
      </c>
      <c r="B3" s="2" t="s">
        <v>9</v>
      </c>
      <c r="C3" s="2">
        <v>4</v>
      </c>
      <c r="D3" s="8">
        <v>12</v>
      </c>
      <c r="E3" s="2">
        <v>15</v>
      </c>
      <c r="F3" s="9">
        <v>24</v>
      </c>
      <c r="G3" s="2">
        <f>C3*D3</f>
        <v>48</v>
      </c>
      <c r="H3" s="2">
        <f>C3*E3</f>
        <v>60</v>
      </c>
      <c r="I3" s="2">
        <f>C3*F3</f>
        <v>96</v>
      </c>
    </row>
    <row r="4" spans="1:9" x14ac:dyDescent="0.25">
      <c r="A4" s="2" t="s">
        <v>10</v>
      </c>
      <c r="B4" s="2" t="s">
        <v>11</v>
      </c>
      <c r="C4" s="2">
        <v>1</v>
      </c>
      <c r="D4" s="8">
        <v>8</v>
      </c>
      <c r="E4" s="2">
        <v>18</v>
      </c>
      <c r="F4" s="9">
        <v>30</v>
      </c>
      <c r="G4" s="2">
        <f>C4*D4</f>
        <v>8</v>
      </c>
      <c r="H4" s="2">
        <f>C4*E4</f>
        <v>18</v>
      </c>
      <c r="I4" s="2">
        <f>C4*F4</f>
        <v>30</v>
      </c>
    </row>
    <row r="5" spans="1:9" ht="30" x14ac:dyDescent="0.25">
      <c r="A5" s="2" t="s">
        <v>19</v>
      </c>
      <c r="B5" s="2" t="s">
        <v>20</v>
      </c>
      <c r="C5" s="2">
        <f>SUM(C2:C4)</f>
        <v>10</v>
      </c>
      <c r="D5" s="8">
        <f>AVERAGE(D2:D4)</f>
        <v>10</v>
      </c>
      <c r="E5" s="2">
        <f>AVERAGE(E2:E4)</f>
        <v>15.666666666666666</v>
      </c>
      <c r="F5" s="9">
        <f>AVERAGE(F2:F4)</f>
        <v>25.333333333333332</v>
      </c>
      <c r="G5" s="2">
        <f>SUM(G2:G4)/C5</f>
        <v>10.6</v>
      </c>
      <c r="H5" s="2">
        <f>SUM(H2:H4)/C5</f>
        <v>14.8</v>
      </c>
      <c r="I5" s="2">
        <f>SUM(I2:I4)/C5</f>
        <v>23.6</v>
      </c>
    </row>
    <row r="6" spans="1:9" x14ac:dyDescent="0.25">
      <c r="A6" s="2"/>
      <c r="B6" s="2"/>
      <c r="C6" s="2"/>
      <c r="D6" s="8"/>
      <c r="E6" s="2"/>
      <c r="F6" s="9"/>
      <c r="G6" s="2"/>
      <c r="H6" s="2"/>
      <c r="I6" s="2"/>
    </row>
    <row r="7" spans="1:9" ht="30" x14ac:dyDescent="0.25">
      <c r="A7" s="4" t="s">
        <v>21</v>
      </c>
      <c r="B7" s="3" t="s">
        <v>22</v>
      </c>
      <c r="C7" s="3" t="s">
        <v>23</v>
      </c>
      <c r="D7" s="8" t="s">
        <v>15</v>
      </c>
      <c r="E7" s="2" t="s">
        <v>15</v>
      </c>
      <c r="F7" s="9" t="s">
        <v>15</v>
      </c>
      <c r="G7" s="2" t="s">
        <v>15</v>
      </c>
      <c r="H7" s="2" t="s">
        <v>15</v>
      </c>
      <c r="I7" s="2" t="s">
        <v>15</v>
      </c>
    </row>
    <row r="8" spans="1:9" ht="30" x14ac:dyDescent="0.25">
      <c r="A8" s="2" t="s">
        <v>33</v>
      </c>
      <c r="B8" s="2">
        <f>(D5+(4*E5)+F5)/6</f>
        <v>16.333333333333332</v>
      </c>
      <c r="C8" s="2">
        <f>(F5-D5)/6</f>
        <v>2.5555555555555554</v>
      </c>
      <c r="D8" s="8" t="s">
        <v>15</v>
      </c>
      <c r="E8" s="2" t="s">
        <v>15</v>
      </c>
      <c r="F8" s="9" t="s">
        <v>15</v>
      </c>
      <c r="G8" s="2" t="s">
        <v>15</v>
      </c>
      <c r="H8" s="2" t="s">
        <v>15</v>
      </c>
      <c r="I8" s="2" t="s">
        <v>15</v>
      </c>
    </row>
    <row r="9" spans="1:9" x14ac:dyDescent="0.25">
      <c r="A9" s="2" t="s">
        <v>34</v>
      </c>
      <c r="B9" s="2">
        <f>(G5+(4*H5)+I5)/6</f>
        <v>15.566666666666668</v>
      </c>
      <c r="C9" s="2">
        <f>(I5-G5)/6</f>
        <v>2.166666666666667</v>
      </c>
      <c r="D9" s="8" t="s">
        <v>15</v>
      </c>
      <c r="E9" s="2" t="s">
        <v>15</v>
      </c>
      <c r="F9" s="9" t="s">
        <v>15</v>
      </c>
      <c r="G9" s="2" t="s">
        <v>15</v>
      </c>
      <c r="H9" s="2" t="s">
        <v>15</v>
      </c>
      <c r="I9" s="2" t="s">
        <v>15</v>
      </c>
    </row>
    <row r="10" spans="1:9" x14ac:dyDescent="0.25">
      <c r="A10" s="2"/>
      <c r="B10" s="2"/>
      <c r="C10" s="2"/>
      <c r="D10" s="8"/>
      <c r="E10" s="2"/>
      <c r="F10" s="9"/>
      <c r="G10" s="2"/>
      <c r="H10" s="2"/>
      <c r="I10" s="2"/>
    </row>
    <row r="11" spans="1:9" ht="30" x14ac:dyDescent="0.25">
      <c r="A11" s="4" t="s">
        <v>24</v>
      </c>
      <c r="C11" s="2" t="s">
        <v>25</v>
      </c>
      <c r="D11" s="8" t="s">
        <v>35</v>
      </c>
      <c r="E11" s="2" t="s">
        <v>36</v>
      </c>
      <c r="F11" s="9" t="s">
        <v>37</v>
      </c>
      <c r="G11" s="2" t="s">
        <v>38</v>
      </c>
      <c r="H11" s="2" t="s">
        <v>39</v>
      </c>
      <c r="I11" s="2" t="s">
        <v>40</v>
      </c>
    </row>
    <row r="12" spans="1:9" x14ac:dyDescent="0.25">
      <c r="A12" s="2" t="s">
        <v>26</v>
      </c>
      <c r="C12" s="2">
        <v>1</v>
      </c>
      <c r="D12" s="8">
        <f>$C$8/SQRT(C12)</f>
        <v>2.5555555555555554</v>
      </c>
      <c r="E12" s="2">
        <f>$B$8-(1.96*D12)</f>
        <v>11.324444444444444</v>
      </c>
      <c r="F12" s="9">
        <f>$B$8+(1.96*D12)</f>
        <v>21.342222222222219</v>
      </c>
      <c r="G12" s="2">
        <f>$C$9/SQRT(C12)</f>
        <v>2.166666666666667</v>
      </c>
      <c r="H12" s="2">
        <f>$B$9-(1.96*G12)</f>
        <v>11.32</v>
      </c>
      <c r="I12" s="2">
        <f>$B$9+(1.96*G12)</f>
        <v>19.813333333333336</v>
      </c>
    </row>
    <row r="13" spans="1:9" x14ac:dyDescent="0.25">
      <c r="A13" s="2" t="s">
        <v>27</v>
      </c>
      <c r="C13" s="2">
        <v>3</v>
      </c>
      <c r="D13" s="8">
        <f>$C$8/SQRT(C13)</f>
        <v>1.4754506879290437</v>
      </c>
      <c r="E13" s="2">
        <f>$B$8-(1.96*D13)</f>
        <v>13.441449984992406</v>
      </c>
      <c r="F13" s="9">
        <f>$B$8+(1.96*D13)</f>
        <v>19.225216681674258</v>
      </c>
      <c r="G13" s="2">
        <f>$C$9/SQRT(C13)</f>
        <v>1.2509255832441895</v>
      </c>
      <c r="H13" s="2">
        <f>$B$9-(1.96*G13)</f>
        <v>13.114852523508057</v>
      </c>
      <c r="I13" s="2">
        <f>$B$9+(1.96*G13)</f>
        <v>18.018480809825281</v>
      </c>
    </row>
    <row r="14" spans="1:9" x14ac:dyDescent="0.25">
      <c r="A14" s="2" t="s">
        <v>28</v>
      </c>
      <c r="C14" s="2">
        <v>5</v>
      </c>
      <c r="D14" s="8">
        <f>$C$8/SQRT(C14)</f>
        <v>1.1428791884998923</v>
      </c>
      <c r="E14" s="2">
        <f>$B$8-(1.96*D14)</f>
        <v>14.093290123873544</v>
      </c>
      <c r="F14" s="9">
        <f>$B$8+(1.96*D14)</f>
        <v>18.57337654279312</v>
      </c>
      <c r="G14" s="2">
        <f>$C$9/SQRT(C14)</f>
        <v>0.96896279024990895</v>
      </c>
      <c r="H14" s="2">
        <f>$B$9-(1.96*G14)</f>
        <v>13.667499597776846</v>
      </c>
      <c r="I14" s="2">
        <f>$B$9+(1.96*G14)</f>
        <v>17.46583373555649</v>
      </c>
    </row>
    <row r="15" spans="1:9" ht="15.75" thickBot="1" x14ac:dyDescent="0.3">
      <c r="A15" s="2" t="s">
        <v>29</v>
      </c>
      <c r="C15" s="2">
        <v>10</v>
      </c>
      <c r="D15" s="10">
        <f>$C$8/SQRT(C15)</f>
        <v>0.80813762426525237</v>
      </c>
      <c r="E15" s="11">
        <f>$B$8-(1.96*D15)</f>
        <v>14.749383589773437</v>
      </c>
      <c r="F15" s="12">
        <f>$B$8+(1.96*D15)</f>
        <v>17.917283076893227</v>
      </c>
      <c r="G15" s="2">
        <f>$C$9/SQRT(C15)</f>
        <v>0.68516015970314892</v>
      </c>
      <c r="H15" s="2">
        <f>$B$9-(1.96*G15)</f>
        <v>14.223752753648496</v>
      </c>
      <c r="I15" s="2">
        <f>$B$9+(1.96*G15)</f>
        <v>16.909580579684839</v>
      </c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Multiple Estimators</vt:lpstr>
      <vt:lpstr>Weighted and Multiple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Harris</dc:creator>
  <cp:lastModifiedBy>Graham Harris</cp:lastModifiedBy>
  <dcterms:created xsi:type="dcterms:W3CDTF">2026-08-05T23:01:00Z</dcterms:created>
  <dcterms:modified xsi:type="dcterms:W3CDTF">2026-08-11T20:10:53Z</dcterms:modified>
</cp:coreProperties>
</file>